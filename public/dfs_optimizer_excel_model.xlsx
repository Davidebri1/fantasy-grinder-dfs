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FC Optimizer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06100"/>
      <sz val="11"/>
    </font>
    <font>
      <name val="Calibri"/>
      <b val="1"/>
      <color rgb="001F497D"/>
      <sz val="12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4" borderId="0" pivotButton="0" quotePrefix="0" xfId="0"/>
    <xf numFmtId="0" fontId="0" fillId="4" borderId="0" pivotButton="0" quotePrefix="0" xfId="0"/>
    <xf numFmtId="0" fontId="4" fillId="4" borderId="0" applyAlignment="1" pivotButton="0" quotePrefix="0" xfId="0">
      <alignment horizontal="center"/>
    </xf>
    <xf numFmtId="164" fontId="4" fillId="4" borderId="0" pivotButton="0" quotePrefix="0" xfId="0"/>
    <xf numFmtId="165" fontId="5" fillId="3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08" customWidth="1" min="1" max="1"/>
    <col width="25" customWidth="1" min="2" max="2"/>
    <col width="17" customWidth="1" min="3" max="3"/>
    <col width="20" customWidth="1" min="4" max="4"/>
    <col width="54" customWidth="1" min="5" max="5"/>
    <col width="20" customWidth="1" min="6" max="6"/>
    <col width="22" customWidth="1" min="7" max="7"/>
  </cols>
  <sheetData>
    <row r="1">
      <c r="A1" s="1" t="inlineStr">
        <is>
          <t>Fantasy Grinder - UFC DFS Linear Programming Optimizer Model</t>
        </is>
      </c>
    </row>
    <row r="2">
      <c r="A2" s="2" t="inlineStr">
        <is>
          <t>Objective: Maximize Projected Fantasy Points subject to DraftKings Salary Cap ($50,000) and Roster Rules</t>
        </is>
      </c>
    </row>
    <row r="3"/>
    <row r="4">
      <c r="A4" s="3" t="inlineStr">
        <is>
          <t>Fighter Name</t>
        </is>
      </c>
      <c r="B4" s="3" t="inlineStr">
        <is>
          <t>Opponent / Bout</t>
        </is>
      </c>
      <c r="C4" s="4" t="inlineStr">
        <is>
          <t>DK Salary ($)</t>
        </is>
      </c>
      <c r="D4" s="4" t="inlineStr">
        <is>
          <t>Projected Points</t>
        </is>
      </c>
      <c r="E4" s="4" t="inlineStr">
        <is>
          <t>Selected (Binary)</t>
        </is>
      </c>
      <c r="F4" s="4" t="inlineStr">
        <is>
          <t>Contribution ($)</t>
        </is>
      </c>
      <c r="G4" s="4" t="inlineStr">
        <is>
          <t>Contribution (Pts)</t>
        </is>
      </c>
    </row>
    <row r="5">
      <c r="A5" s="5" t="inlineStr">
        <is>
          <t>Jon Jones</t>
        </is>
      </c>
      <c r="B5" s="5" t="inlineStr">
        <is>
          <t>Bout 1 (vs Stipe)</t>
        </is>
      </c>
      <c r="C5" s="6" t="n">
        <v>10000</v>
      </c>
      <c r="D5" s="7" t="n">
        <v>30</v>
      </c>
      <c r="E5" s="8" t="n">
        <v>1</v>
      </c>
      <c r="F5" s="6">
        <f>C5*E5</f>
        <v/>
      </c>
      <c r="G5" s="7">
        <f>D5*E5</f>
        <v/>
      </c>
    </row>
    <row r="6">
      <c r="A6" s="5" t="inlineStr">
        <is>
          <t>Stipe Miocic</t>
        </is>
      </c>
      <c r="B6" s="5" t="inlineStr">
        <is>
          <t>Bout 1 (vs Jones)</t>
        </is>
      </c>
      <c r="C6" s="6" t="n">
        <v>6200</v>
      </c>
      <c r="D6" s="7" t="n">
        <v>14</v>
      </c>
      <c r="E6" s="9" t="n">
        <v>0</v>
      </c>
      <c r="F6" s="6">
        <f>C6*E6</f>
        <v/>
      </c>
      <c r="G6" s="7">
        <f>D6*E6</f>
        <v/>
      </c>
    </row>
    <row r="7">
      <c r="A7" s="5" t="inlineStr">
        <is>
          <t>Islam Makhachev</t>
        </is>
      </c>
      <c r="B7" s="5" t="inlineStr">
        <is>
          <t>Bout 2 (vs Poirier)</t>
        </is>
      </c>
      <c r="C7" s="6" t="n">
        <v>9800</v>
      </c>
      <c r="D7" s="7" t="n">
        <v>28.5</v>
      </c>
      <c r="E7" s="8" t="n">
        <v>1</v>
      </c>
      <c r="F7" s="6">
        <f>C7*E7</f>
        <v/>
      </c>
      <c r="G7" s="7">
        <f>D7*E7</f>
        <v/>
      </c>
    </row>
    <row r="8">
      <c r="A8" s="5" t="inlineStr">
        <is>
          <t>Dustin Poirier</t>
        </is>
      </c>
      <c r="B8" s="5" t="inlineStr">
        <is>
          <t>Bout 2 (vs Islam)</t>
        </is>
      </c>
      <c r="C8" s="6" t="n">
        <v>6400</v>
      </c>
      <c r="D8" s="7" t="n">
        <v>15</v>
      </c>
      <c r="E8" s="8" t="n">
        <v>1</v>
      </c>
      <c r="F8" s="6">
        <f>C8*E8</f>
        <v/>
      </c>
      <c r="G8" s="7">
        <f>D8*E8</f>
        <v/>
      </c>
    </row>
    <row r="9">
      <c r="A9" s="5" t="inlineStr">
        <is>
          <t>Alex Pereira</t>
        </is>
      </c>
      <c r="B9" s="5" t="inlineStr">
        <is>
          <t>Bout 3 (vs Prochazka)</t>
        </is>
      </c>
      <c r="C9" s="6" t="n">
        <v>9600</v>
      </c>
      <c r="D9" s="7" t="n">
        <v>27</v>
      </c>
      <c r="E9" s="8" t="n">
        <v>1</v>
      </c>
      <c r="F9" s="6">
        <f>C9*E9</f>
        <v/>
      </c>
      <c r="G9" s="7">
        <f>D9*E9</f>
        <v/>
      </c>
    </row>
    <row r="10">
      <c r="A10" s="5" t="inlineStr">
        <is>
          <t>Jiri Prochazka</t>
        </is>
      </c>
      <c r="B10" s="5" t="inlineStr">
        <is>
          <t>Bout 3 (vs Pereira)</t>
        </is>
      </c>
      <c r="C10" s="6" t="n">
        <v>6600</v>
      </c>
      <c r="D10" s="7" t="n">
        <v>16</v>
      </c>
      <c r="E10" s="8" t="n">
        <v>1</v>
      </c>
      <c r="F10" s="6">
        <f>C10*E10</f>
        <v/>
      </c>
      <c r="G10" s="7">
        <f>D10*E10</f>
        <v/>
      </c>
    </row>
    <row r="11">
      <c r="A11" s="5" t="inlineStr">
        <is>
          <t>Charles Oliveira</t>
        </is>
      </c>
      <c r="B11" s="5" t="inlineStr">
        <is>
          <t>Bout 4 (vs Chandler)</t>
        </is>
      </c>
      <c r="C11" s="6" t="n">
        <v>9200</v>
      </c>
      <c r="D11" s="7" t="n">
        <v>25</v>
      </c>
      <c r="E11" s="9" t="n">
        <v>0</v>
      </c>
      <c r="F11" s="6">
        <f>C11*E11</f>
        <v/>
      </c>
      <c r="G11" s="7">
        <f>D11*E11</f>
        <v/>
      </c>
    </row>
    <row r="12">
      <c r="A12" s="5" t="inlineStr">
        <is>
          <t>Michael Chandler</t>
        </is>
      </c>
      <c r="B12" s="5" t="inlineStr">
        <is>
          <t>Bout 4 (vs Oliveira)</t>
        </is>
      </c>
      <c r="C12" s="6" t="n">
        <v>7000</v>
      </c>
      <c r="D12" s="7" t="n">
        <v>17</v>
      </c>
      <c r="E12" s="8" t="n">
        <v>1</v>
      </c>
      <c r="F12" s="6">
        <f>C12*E12</f>
        <v/>
      </c>
      <c r="G12" s="7">
        <f>D12*E12</f>
        <v/>
      </c>
    </row>
    <row r="13">
      <c r="A13" s="5" t="inlineStr">
        <is>
          <t>Ilia Topuria</t>
        </is>
      </c>
      <c r="B13" s="5" t="inlineStr">
        <is>
          <t>Bout 5 (vs Holloway)</t>
        </is>
      </c>
      <c r="C13" s="6" t="n">
        <v>9000</v>
      </c>
      <c r="D13" s="7" t="n">
        <v>24</v>
      </c>
      <c r="E13" s="9" t="n">
        <v>0</v>
      </c>
      <c r="F13" s="6">
        <f>C13*E13</f>
        <v/>
      </c>
      <c r="G13" s="7">
        <f>D13*E13</f>
        <v/>
      </c>
    </row>
    <row r="14">
      <c r="A14" s="5" t="inlineStr">
        <is>
          <t>Max Holloway</t>
        </is>
      </c>
      <c r="B14" s="5" t="inlineStr">
        <is>
          <t>Bout 5 (vs Topuria)</t>
        </is>
      </c>
      <c r="C14" s="6" t="n">
        <v>7200</v>
      </c>
      <c r="D14" s="7" t="n">
        <v>18</v>
      </c>
      <c r="E14" s="9" t="n">
        <v>0</v>
      </c>
      <c r="F14" s="6">
        <f>C14*E14</f>
        <v/>
      </c>
      <c r="G14" s="7">
        <f>D14*E14</f>
        <v/>
      </c>
    </row>
    <row r="15">
      <c r="A15" s="10" t="inlineStr">
        <is>
          <t>TOTAL OPTIMAL LINEUP</t>
        </is>
      </c>
      <c r="B15" s="11" t="inlineStr"/>
      <c r="C15" s="11" t="inlineStr"/>
      <c r="D15" s="11" t="inlineStr"/>
      <c r="E15" s="12">
        <f>SUM(E5:E14)</f>
        <v/>
      </c>
      <c r="F15" s="13">
        <f>SUM(F5:F14)</f>
        <v/>
      </c>
      <c r="G15" s="14">
        <f>SUM(G5:G14)</f>
        <v/>
      </c>
    </row>
    <row r="16"/>
    <row r="17"/>
    <row r="18">
      <c r="A18" s="15" t="inlineStr">
        <is>
          <t>Linear Programming Constraints Setup</t>
        </is>
      </c>
    </row>
    <row r="19">
      <c r="A19" s="16" t="inlineStr">
        <is>
          <t>Constraint Name</t>
        </is>
      </c>
      <c r="B19" s="16" t="inlineStr">
        <is>
          <t>Cell / Formula</t>
        </is>
      </c>
      <c r="C19" s="16" t="inlineStr">
        <is>
          <t>Operator</t>
        </is>
      </c>
      <c r="D19" s="16" t="inlineStr">
        <is>
          <t>Bound</t>
        </is>
      </c>
      <c r="E19" s="16" t="inlineStr">
        <is>
          <t>Explanation</t>
        </is>
      </c>
    </row>
    <row r="20">
      <c r="A20" t="inlineStr">
        <is>
          <t>Roster Size Constraint</t>
        </is>
      </c>
      <c r="B20">
        <f>E15</f>
        <v/>
      </c>
      <c r="C20" s="17" t="inlineStr">
        <is>
          <t>=</t>
        </is>
      </c>
      <c r="D20" t="n">
        <v>6</v>
      </c>
      <c r="E20" t="inlineStr">
        <is>
          <t>Must select exactly 6 fighters</t>
        </is>
      </c>
    </row>
    <row r="21">
      <c r="A21" t="inlineStr">
        <is>
          <t>Salary Cap Constraint</t>
        </is>
      </c>
      <c r="B21">
        <f>F15</f>
        <v/>
      </c>
      <c r="C21" s="17" t="inlineStr">
        <is>
          <t>&lt;=</t>
        </is>
      </c>
      <c r="D21" t="n">
        <v>50000</v>
      </c>
      <c r="E21" t="inlineStr">
        <is>
          <t>Must not exceed DraftKings $50,000 cap</t>
        </is>
      </c>
    </row>
    <row r="22">
      <c r="A22" t="inlineStr">
        <is>
          <t>Binary Variable Constraint</t>
        </is>
      </c>
      <c r="B22" t="inlineStr">
        <is>
          <t>E5:E14</t>
        </is>
      </c>
      <c r="C22" s="17" t="inlineStr">
        <is>
          <t>in</t>
        </is>
      </c>
      <c r="D22" t="inlineStr">
        <is>
          <t>{0, 1}</t>
        </is>
      </c>
      <c r="E22" t="inlineStr">
        <is>
          <t>Each fighter is either drafted (1) or excluded (0)</t>
        </is>
      </c>
    </row>
    <row r="23">
      <c r="A23" t="inlineStr">
        <is>
          <t>Bout 1 Opponent Exclusion</t>
        </is>
      </c>
      <c r="B23">
        <f>E5+E6</f>
        <v/>
      </c>
      <c r="C23" s="17" t="inlineStr">
        <is>
          <t>&lt;=</t>
        </is>
      </c>
      <c r="D23" t="n">
        <v>1</v>
      </c>
      <c r="E23" t="inlineStr">
        <is>
          <t>Cannot select both Jones and Stipe</t>
        </is>
      </c>
    </row>
    <row r="24">
      <c r="A24" t="inlineStr">
        <is>
          <t>Bout 2 Opponent Exclusion</t>
        </is>
      </c>
      <c r="B24">
        <f>E7+E8</f>
        <v/>
      </c>
      <c r="C24" s="17" t="inlineStr">
        <is>
          <t>&lt;=</t>
        </is>
      </c>
      <c r="D24" t="n">
        <v>1</v>
      </c>
      <c r="E24" t="inlineStr">
        <is>
          <t>Cannot select both Islam and Poirier</t>
        </is>
      </c>
    </row>
    <row r="25">
      <c r="A25" t="inlineStr">
        <is>
          <t>Bout 3 Opponent Exclusion</t>
        </is>
      </c>
      <c r="B25">
        <f>E9+E10</f>
        <v/>
      </c>
      <c r="C25" s="17" t="inlineStr">
        <is>
          <t>&lt;=</t>
        </is>
      </c>
      <c r="D25" t="n">
        <v>1</v>
      </c>
      <c r="E25" t="inlineStr">
        <is>
          <t>Cannot select both Pereira and Prochazka</t>
        </is>
      </c>
    </row>
    <row r="26">
      <c r="A26" t="inlineStr">
        <is>
          <t>Bout 4 Opponent Exclusion</t>
        </is>
      </c>
      <c r="B26">
        <f>E11+E12</f>
        <v/>
      </c>
      <c r="C26" s="17" t="inlineStr">
        <is>
          <t>&lt;=</t>
        </is>
      </c>
      <c r="D26" t="n">
        <v>1</v>
      </c>
      <c r="E26" t="inlineStr">
        <is>
          <t>Cannot select both Oliveira and Chandler</t>
        </is>
      </c>
    </row>
    <row r="27">
      <c r="A27" t="inlineStr">
        <is>
          <t>Bout 5 Opponent Exclusion</t>
        </is>
      </c>
      <c r="B27">
        <f>E13+E14</f>
        <v/>
      </c>
      <c r="C27" s="17" t="inlineStr">
        <is>
          <t>&lt;=</t>
        </is>
      </c>
      <c r="D27" t="n">
        <v>1</v>
      </c>
      <c r="E27" t="inlineStr">
        <is>
          <t>Cannot select both Topuria and Holloway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2026-09-08T20:35:59Z</dcterms:created>
  <dcterms:modified xmlns:dcterms="http://purl.org/dc/terms/" xmlns:xsi="http://www.w3.org/2001/XMLSchema-instance" xsi:type="dcterms:W3CDTF">2026-09-08T20:35:59Z</dcterms:modified>
</cp:coreProperties>
</file>